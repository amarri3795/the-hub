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utdown Plan" state="visible" r:id="rId4"/>
    <sheet sheetId="2" name="How to use" state="visible" r:id="rId5"/>
  </sheets>
  <calcPr calcId="171027"/>
</workbook>
</file>

<file path=xl/sharedStrings.xml><?xml version="1.0" encoding="utf-8"?>
<sst xmlns="http://schemas.openxmlformats.org/spreadsheetml/2006/main" count="255" uniqueCount="85">
  <si>
    <t>Shutdown Planning — Week of ________ (edit week in B1)</t>
  </si>
  <si>
    <t>How to use: 1) Update People Lookup (cols AB–AE). 2) On roster, pick/type Name → Station + Seniority auto-fill. 3) Set Want / Travel / Working. 4) Fill Requirements Assigned. 5) Place Coordinators.</t>
  </si>
  <si>
    <t>Open seats (1st):</t>
  </si>
  <si>
    <t>Open seats (2nd):</t>
  </si>
  <si>
    <t>1st Working Yes:</t>
  </si>
  <si>
    <t>2nd Working Yes:</t>
  </si>
  <si>
    <t>COORDINATORS</t>
  </si>
  <si>
    <t>REQUIREMENTS (edit hrs/roles each week)</t>
  </si>
  <si>
    <t>1st SHIFT ROSTER — type/select Name → Station + Seniority auto-fill</t>
  </si>
  <si>
    <t>2nd SHIFT ROSTER — type/select Name → Station + Seniority auto-fill</t>
  </si>
  <si>
    <t>PEOPLE LOOKUP (source of truth — update this list)</t>
  </si>
  <si>
    <t>Name</t>
  </si>
  <si>
    <t>Want?</t>
  </si>
  <si>
    <t>Place?</t>
  </si>
  <si>
    <t>Dept</t>
  </si>
  <si>
    <t>Hrs</t>
  </si>
  <si>
    <t>Role</t>
  </si>
  <si>
    <t>1st Assigned</t>
  </si>
  <si>
    <t>2nd Assigned</t>
  </si>
  <si>
    <t>Shift</t>
  </si>
  <si>
    <t>Station</t>
  </si>
  <si>
    <t>Seniority</t>
  </si>
  <si>
    <t>Travel?</t>
  </si>
  <si>
    <t>Working?</t>
  </si>
  <si>
    <t>Torres</t>
  </si>
  <si>
    <t>Yes</t>
  </si>
  <si>
    <t>Inbound</t>
  </si>
  <si>
    <t>10hrs</t>
  </si>
  <si>
    <t>Coordinator</t>
  </si>
  <si>
    <t>OPEN</t>
  </si>
  <si>
    <t>1st</t>
  </si>
  <si>
    <t>Diaz</t>
  </si>
  <si>
    <t>2nd</t>
  </si>
  <si>
    <t>Lee</t>
  </si>
  <si>
    <t>Paste your full crew below. Roster Name dropdowns + Station/Seniority formulas read from here.</t>
  </si>
  <si>
    <t>Nguyen</t>
  </si>
  <si>
    <t>Hold</t>
  </si>
  <si>
    <t/>
  </si>
  <si>
    <t>Picker</t>
  </si>
  <si>
    <t>Rivera</t>
  </si>
  <si>
    <t>Clark</t>
  </si>
  <si>
    <t>West</t>
  </si>
  <si>
    <t>No</t>
  </si>
  <si>
    <t>Hilo - CMC</t>
  </si>
  <si>
    <t>Reach Truck</t>
  </si>
  <si>
    <t>Owen</t>
  </si>
  <si>
    <t>Sequencer</t>
  </si>
  <si>
    <t>Sit Down</t>
  </si>
  <si>
    <t>Balancer</t>
  </si>
  <si>
    <t>CMC</t>
  </si>
  <si>
    <t>8hrs</t>
  </si>
  <si>
    <t>Hilo</t>
  </si>
  <si>
    <t>Hall</t>
  </si>
  <si>
    <t>SAC</t>
  </si>
  <si>
    <t>Team Member</t>
  </si>
  <si>
    <t>Inventory</t>
  </si>
  <si>
    <t>Projects</t>
  </si>
  <si>
    <t>ESEP</t>
  </si>
  <si>
    <t>Kim</t>
  </si>
  <si>
    <t>ARO</t>
  </si>
  <si>
    <t>Patel</t>
  </si>
  <si>
    <t>SEQ Launch</t>
  </si>
  <si>
    <t>Brooks</t>
  </si>
  <si>
    <t>James</t>
  </si>
  <si>
    <t>SHUTDOWN PLAN — HOW TO USE (one sheet)</t>
  </si>
  <si>
    <t>1. PEOPLE LOOKUP (columns AB–AE on Shutdown Plan)</t>
  </si>
  <si>
    <t xml:space="preserve">   Paste every person: Name | Station | Seniority date | Shift.</t>
  </si>
  <si>
    <t xml:space="preserve">   This is the only place Station/Seniority are stored.</t>
  </si>
  <si>
    <t>2. ROSTER (1st = cols L–R, 2nd = cols T–Z)</t>
  </si>
  <si>
    <t xml:space="preserve">   Pick or type a Name in the Name column.</t>
  </si>
  <si>
    <t xml:space="preserve">   Station and Seniority fill automatically via INDEX/MATCH (works in older Excel too).</t>
  </si>
  <si>
    <t xml:space="preserve">   Set Want? / Travel? / Working? with the dropdowns.</t>
  </si>
  <si>
    <t xml:space="preserve">   Working=Yes turns the row soft green; Working=No soft red + strikethrough.</t>
  </si>
  <si>
    <t>3. REQUIREMENTS (cols F–J)</t>
  </si>
  <si>
    <t xml:space="preserve">   Edit Hrs/Role each week as needed.</t>
  </si>
  <si>
    <t xml:space="preserve">   Replace OPEN with a name from the dropdown (same People list).</t>
  </si>
  <si>
    <t xml:space="preserve">   OPEN cells stay amber so empty seats stand out.</t>
  </si>
  <si>
    <t>4. COORDINATORS (cols B–D)</t>
  </si>
  <si>
    <t xml:space="preserve">   Pick names, Want?, and Place? (Yes / Hold / No).</t>
  </si>
  <si>
    <t xml:space="preserve">   Yellow = not placed this week; green = placed.</t>
  </si>
  <si>
    <t>5. SAME SHEET</t>
  </si>
  <si>
    <t xml:space="preserve">   1st and 2nd stay side by side. No tab hopping for planning.</t>
  </si>
  <si>
    <t xml:space="preserve">   Freeze is set under the title row so headers stay visible while scrolling.</t>
  </si>
  <si>
    <t>Excel tip: If dropdowns look empty, make sure People Lookup has names starting at AB8.</t>
  </si>
  <si>
    <t>If you use Microsoft 365, you can later swap INDEX/MATCH for XLOOKUP — same idea.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</si>
</sst>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7" x14ac:knownFonts="1">
    <font>
      <color theme="1"/>
      <family val="2"/>
      <scheme val="minor"/>
      <sz val="11"/>
      <name val="Calibri"/>
    </font>
    <font>
      <b/>
      <color rgb="FF1A1F24"/>
      <sz val="16"/>
    </font>
    <font>
      <color rgb="FF5C6670"/>
      <sz val="10"/>
    </font>
    <font>
      <b/>
      <color rgb="FFFFFFFF"/>
      <sz val="11"/>
    </font>
    <font>
      <b/>
      <color rgb="FF1F6B4A"/>
    </font>
    <font>
      <i/>
      <color rgb="FF5C6670"/>
      <sz val="9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1F6B4A"/>
      </patternFill>
    </fill>
    <fill>
      <patternFill patternType="solid">
        <fgColor rgb="FFE8F5EE"/>
      </patternFill>
    </fill>
  </fills>
  <borders count="2">
    <border>
      <left/>
      <right/>
      <top/>
      <bottom/>
      <diagonal/>
    </border>
    <border>
      <left style="thin">
        <color rgb="FFC9D0D6"/>
      </left>
      <right style="thin">
        <color rgb="FFC9D0D6"/>
      </right>
      <top style="thin">
        <color rgb="FFC9D0D6"/>
      </top>
      <bottom style="thin">
        <color rgb="FFC9D0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/>
    <xf numFmtId="164" fontId="0" fillId="0" borderId="1" xfId="0" applyNumberFormat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8">
    <dxf>
      <fill>
        <patternFill patternType="solid">
          <fgColor rgb="FFD8F3E2"/>
        </patternFill>
      </fill>
    </dxf>
    <dxf>
      <fill>
        <patternFill patternType="solid">
          <fgColor rgb="FFFFF3BF"/>
        </patternFill>
      </fill>
    </dxf>
    <dxf>
      <fill>
        <patternFill patternType="solid">
          <fgColor rgb="FFFFF3BF"/>
        </patternFill>
      </fill>
    </dxf>
    <dxf>
      <font>
        <i/>
        <color rgb="FF7A5A00"/>
      </font>
      <fill>
        <patternFill patternType="solid">
          <fgColor rgb="FFFFF4D6"/>
        </patternFill>
      </fill>
    </dxf>
    <dxf>
      <fill>
        <patternFill patternType="solid">
          <fgColor rgb="FFD8F3E2"/>
        </patternFill>
      </fill>
    </dxf>
    <dxf>
      <font>
        <color rgb="FF888888"/>
        <strike/>
      </font>
      <fill>
        <patternFill patternType="solid">
          <fgColor rgb="FFFDE2E1"/>
        </patternFill>
      </fill>
    </dxf>
    <dxf>
      <fill>
        <patternFill patternType="solid">
          <fgColor rgb="FFD8F3E2"/>
        </patternFill>
      </fill>
    </dxf>
    <dxf>
      <font>
        <color rgb="FF888888"/>
        <strike/>
      </font>
      <fill>
        <patternFill patternType="solid">
          <fgColor rgb="FFFDE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4" customWidth="1"/>
    <col min="3" max="4" width="10" customWidth="1"/>
    <col min="5" max="5" width="3" customWidth="1"/>
    <col min="6" max="6" width="12" customWidth="1"/>
    <col min="7" max="7" width="8" customWidth="1"/>
    <col min="8" max="10" width="14" customWidth="1"/>
    <col min="11" max="11" width="3" customWidth="1"/>
    <col min="12" max="12" width="8" customWidth="1"/>
    <col min="13" max="13" width="16" customWidth="1"/>
    <col min="14" max="14" width="14" customWidth="1"/>
    <col min="15" max="15" width="12" customWidth="1"/>
    <col min="16" max="17" width="8" customWidth="1"/>
    <col min="18" max="18" width="10" customWidth="1"/>
    <col min="19" max="19" width="3" customWidth="1"/>
    <col min="20" max="20" width="8" customWidth="1"/>
    <col min="21" max="21" width="16" customWidth="1"/>
    <col min="22" max="22" width="14" customWidth="1"/>
    <col min="23" max="23" width="12" customWidth="1"/>
    <col min="24" max="25" width="8" customWidth="1"/>
    <col min="26" max="26" width="10" customWidth="1"/>
    <col min="27" max="27" width="3" customWidth="1"/>
    <col min="28" max="29" width="16" customWidth="1"/>
    <col min="30" max="30" width="14" customWidth="1"/>
    <col min="31" max="31" width="10" customWidth="1"/>
  </cols>
  <sheetData>
    <row r="1" spans="2:26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13" x14ac:dyDescent="0.25">
      <c r="B3" t="s">
        <v>2</v>
      </c>
      <c r="C3">
        <f>COUNTIF(I7:I40,"OPEN")</f>
      </c>
      <c r="D3" t="s">
        <v>3</v>
      </c>
      <c r="F3" t="s">
        <v>4</v>
      </c>
      <c r="G3">
        <f>COUNTIF(R8:R60,"Yes")</f>
      </c>
      <c r="H3" t="s">
        <v>5</v>
      </c>
      <c r="I3">
        <f>COUNTIF(Z8:Z60,"Yes")</f>
      </c>
      <c r="L3" t="s">
        <v>3</v>
      </c>
      <c r="M3">
        <f>COUNTIF(J7:J40,"OPEN")</f>
      </c>
    </row>
    <row r="5" spans="2:31" x14ac:dyDescent="0.25">
      <c r="B5" s="3" t="s">
        <v>6</v>
      </c>
      <c r="C5" s="3"/>
      <c r="D5" s="3"/>
      <c r="F5" s="3" t="s">
        <v>7</v>
      </c>
      <c r="G5" s="3"/>
      <c r="H5" s="3"/>
      <c r="I5" s="3"/>
      <c r="J5" s="3"/>
      <c r="L5" s="3" t="s">
        <v>8</v>
      </c>
      <c r="M5" s="3"/>
      <c r="N5" s="3"/>
      <c r="O5" s="3"/>
      <c r="P5" s="3"/>
      <c r="Q5" s="3"/>
      <c r="R5" s="3"/>
      <c r="T5" s="3" t="s">
        <v>9</v>
      </c>
      <c r="U5" s="3"/>
      <c r="V5" s="3"/>
      <c r="W5" s="3"/>
      <c r="X5" s="3"/>
      <c r="Y5" s="3"/>
      <c r="Z5" s="3"/>
      <c r="AB5" s="3" t="s">
        <v>10</v>
      </c>
      <c r="AC5" s="3"/>
      <c r="AD5" s="3"/>
      <c r="AE5" s="3"/>
    </row>
    <row r="6" spans="2:31" x14ac:dyDescent="0.25">
      <c r="B6" s="3" t="s">
        <v>11</v>
      </c>
      <c r="C6" s="3" t="s">
        <v>12</v>
      </c>
      <c r="D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3" t="s">
        <v>18</v>
      </c>
      <c r="L6" s="3" t="s">
        <v>19</v>
      </c>
      <c r="M6" s="3" t="s">
        <v>11</v>
      </c>
      <c r="N6" s="3" t="s">
        <v>20</v>
      </c>
      <c r="O6" s="3" t="s">
        <v>21</v>
      </c>
      <c r="P6" s="3" t="s">
        <v>12</v>
      </c>
      <c r="Q6" s="3" t="s">
        <v>22</v>
      </c>
      <c r="R6" s="3" t="s">
        <v>23</v>
      </c>
      <c r="T6" s="3" t="s">
        <v>19</v>
      </c>
      <c r="U6" s="3" t="s">
        <v>11</v>
      </c>
      <c r="V6" s="3" t="s">
        <v>20</v>
      </c>
      <c r="W6" s="3" t="s">
        <v>21</v>
      </c>
      <c r="X6" s="3" t="s">
        <v>12</v>
      </c>
      <c r="Y6" s="3" t="s">
        <v>22</v>
      </c>
      <c r="Z6" s="3" t="s">
        <v>23</v>
      </c>
      <c r="AB6" s="3" t="s">
        <v>11</v>
      </c>
      <c r="AC6" s="3" t="s">
        <v>20</v>
      </c>
      <c r="AD6" s="3" t="s">
        <v>21</v>
      </c>
      <c r="AE6" s="3" t="s">
        <v>19</v>
      </c>
    </row>
    <row r="7" spans="2:31" x14ac:dyDescent="0.25">
      <c r="B7" s="4" t="s">
        <v>24</v>
      </c>
      <c r="C7" s="4" t="s">
        <v>25</v>
      </c>
      <c r="D7" s="4" t="s">
        <v>25</v>
      </c>
      <c r="F7" s="5" t="s">
        <v>26</v>
      </c>
      <c r="G7" s="4" t="s">
        <v>27</v>
      </c>
      <c r="H7" s="4" t="s">
        <v>28</v>
      </c>
      <c r="I7" s="4" t="s">
        <v>24</v>
      </c>
      <c r="J7" s="4" t="s">
        <v>29</v>
      </c>
      <c r="L7" s="4" t="s">
        <v>30</v>
      </c>
      <c r="M7" s="4" t="s">
        <v>31</v>
      </c>
      <c r="N7" s="4">
        <f>IF(M7="","",IFERROR(INDEX($AC$8:$AC$100,MATCH(M7,$AB$8:$AB$100,0)),""))</f>
      </c>
      <c r="O7" s="6">
        <f>IF(M7="","",IFERROR(INDEX($AD$8:$AD$100,MATCH(M7,$AB$8:$AB$100,0)),""))</f>
      </c>
      <c r="P7" s="4" t="s">
        <v>25</v>
      </c>
      <c r="Q7" s="4"/>
      <c r="R7" s="4" t="s">
        <v>25</v>
      </c>
      <c r="T7" s="4" t="s">
        <v>32</v>
      </c>
      <c r="U7" s="4" t="s">
        <v>33</v>
      </c>
      <c r="V7" s="4">
        <f>IF(U7="","",IFERROR(INDEX($AC$8:$AC$100,MATCH(U7,$AB$8:$AB$100,0)),""))</f>
      </c>
      <c r="W7" s="6">
        <f>IF(U7="","",IFERROR(INDEX($AD$8:$AD$100,MATCH(U7,$AB$8:$AB$100,0)),""))</f>
      </c>
      <c r="X7" s="4"/>
      <c r="Y7" s="4"/>
      <c r="Z7" s="4" t="s">
        <v>25</v>
      </c>
      <c r="AB7" s="7" t="s">
        <v>34</v>
      </c>
      <c r="AC7" s="7"/>
      <c r="AD7" s="7"/>
      <c r="AE7" s="7"/>
    </row>
    <row r="8" spans="2:31" x14ac:dyDescent="0.25">
      <c r="B8" s="4" t="s">
        <v>35</v>
      </c>
      <c r="C8" s="4" t="s">
        <v>25</v>
      </c>
      <c r="D8" s="4" t="s">
        <v>36</v>
      </c>
      <c r="F8" s="4" t="s">
        <v>37</v>
      </c>
      <c r="G8" s="4" t="s">
        <v>27</v>
      </c>
      <c r="H8" s="4" t="s">
        <v>38</v>
      </c>
      <c r="I8" s="4" t="s">
        <v>29</v>
      </c>
      <c r="J8" s="4" t="s">
        <v>39</v>
      </c>
      <c r="L8" s="4" t="s">
        <v>30</v>
      </c>
      <c r="M8" s="4" t="s">
        <v>40</v>
      </c>
      <c r="N8" s="4">
        <f>IF(M8="","",IFERROR(INDEX($AC$8:$AC$100,MATCH(M8,$AB$8:$AB$100,0)),""))</f>
      </c>
      <c r="O8" s="6">
        <f>IF(M8="","",IFERROR(INDEX($AD$8:$AD$100,MATCH(M8,$AB$8:$AB$100,0)),""))</f>
      </c>
      <c r="P8" s="4"/>
      <c r="Q8" s="4"/>
      <c r="R8" s="4" t="s">
        <v>25</v>
      </c>
      <c r="T8" s="4" t="s">
        <v>32</v>
      </c>
      <c r="U8" s="4" t="s">
        <v>41</v>
      </c>
      <c r="V8" s="4">
        <f>IF(U8="","",IFERROR(INDEX($AC$8:$AC$100,MATCH(U8,$AB$8:$AB$100,0)),""))</f>
      </c>
      <c r="W8" s="6">
        <f>IF(U8="","",IFERROR(INDEX($AD$8:$AD$100,MATCH(U8,$AB$8:$AB$100,0)),""))</f>
      </c>
      <c r="X8" s="4"/>
      <c r="Y8" s="4"/>
      <c r="Z8" s="4" t="s">
        <v>42</v>
      </c>
      <c r="AB8" s="4" t="s">
        <v>31</v>
      </c>
      <c r="AC8" s="4" t="s">
        <v>43</v>
      </c>
      <c r="AD8" s="6">
        <v>41710</v>
      </c>
      <c r="AE8" s="4" t="s">
        <v>30</v>
      </c>
    </row>
    <row r="9" spans="2:31" x14ac:dyDescent="0.25">
      <c r="B9" s="4"/>
      <c r="C9" s="4"/>
      <c r="D9" s="4"/>
      <c r="F9" s="4" t="s">
        <v>37</v>
      </c>
      <c r="G9" s="4" t="s">
        <v>27</v>
      </c>
      <c r="H9" s="4" t="s">
        <v>44</v>
      </c>
      <c r="I9" s="4" t="s">
        <v>29</v>
      </c>
      <c r="J9" s="4" t="s">
        <v>29</v>
      </c>
      <c r="L9" s="4" t="s">
        <v>30</v>
      </c>
      <c r="M9" s="4" t="s">
        <v>45</v>
      </c>
      <c r="N9" s="4">
        <f>IF(M9="","",IFERROR(INDEX($AC$8:$AC$100,MATCH(M9,$AB$8:$AB$100,0)),""))</f>
      </c>
      <c r="O9" s="6">
        <f>IF(M9="","",IFERROR(INDEX($AD$8:$AD$100,MATCH(M9,$AB$8:$AB$100,0)),""))</f>
      </c>
      <c r="P9" s="4"/>
      <c r="Q9" s="4"/>
      <c r="R9" s="4" t="s">
        <v>42</v>
      </c>
      <c r="T9" s="4" t="s">
        <v>32</v>
      </c>
      <c r="U9" s="4"/>
      <c r="V9" s="4">
        <f>IF(U9="","",IFERROR(INDEX($AC$8:$AC$100,MATCH(U9,$AB$8:$AB$100,0)),""))</f>
      </c>
      <c r="W9" s="6">
        <f>IF(U9="","",IFERROR(INDEX($AD$8:$AD$100,MATCH(U9,$AB$8:$AB$100,0)),""))</f>
      </c>
      <c r="X9" s="4"/>
      <c r="Y9" s="4"/>
      <c r="Z9" s="4"/>
      <c r="AB9" s="4" t="s">
        <v>40</v>
      </c>
      <c r="AC9" s="4" t="s">
        <v>46</v>
      </c>
      <c r="AD9" s="6">
        <v>43313</v>
      </c>
      <c r="AE9" s="4" t="s">
        <v>30</v>
      </c>
    </row>
    <row r="10" spans="2:31" x14ac:dyDescent="0.25">
      <c r="B10" s="4"/>
      <c r="C10" s="4"/>
      <c r="D10" s="4"/>
      <c r="F10" s="4" t="s">
        <v>37</v>
      </c>
      <c r="G10" s="4" t="s">
        <v>27</v>
      </c>
      <c r="H10" s="4" t="s">
        <v>47</v>
      </c>
      <c r="I10" s="4" t="s">
        <v>29</v>
      </c>
      <c r="J10" s="4" t="s">
        <v>29</v>
      </c>
      <c r="L10" s="4" t="s">
        <v>30</v>
      </c>
      <c r="M10" s="4"/>
      <c r="N10" s="4">
        <f>IF(M10="","",IFERROR(INDEX($AC$8:$AC$100,MATCH(M10,$AB$8:$AB$100,0)),""))</f>
      </c>
      <c r="O10" s="6">
        <f>IF(M10="","",IFERROR(INDEX($AD$8:$AD$100,MATCH(M10,$AB$8:$AB$100,0)),""))</f>
      </c>
      <c r="P10" s="4"/>
      <c r="Q10" s="4"/>
      <c r="R10" s="4"/>
      <c r="T10" s="4" t="s">
        <v>32</v>
      </c>
      <c r="U10" s="4"/>
      <c r="V10" s="4">
        <f>IF(U10="","",IFERROR(INDEX($AC$8:$AC$100,MATCH(U10,$AB$8:$AB$100,0)),""))</f>
      </c>
      <c r="W10" s="6">
        <f>IF(U10="","",IFERROR(INDEX($AD$8:$AD$100,MATCH(U10,$AB$8:$AB$100,0)),""))</f>
      </c>
      <c r="X10" s="4"/>
      <c r="Y10" s="4"/>
      <c r="Z10" s="4"/>
      <c r="AB10" s="4" t="s">
        <v>45</v>
      </c>
      <c r="AC10" s="4" t="s">
        <v>48</v>
      </c>
      <c r="AD10" s="6">
        <v>43852</v>
      </c>
      <c r="AE10" s="4" t="s">
        <v>30</v>
      </c>
    </row>
    <row r="11" spans="2:31" x14ac:dyDescent="0.25">
      <c r="B11" s="4"/>
      <c r="C11" s="4"/>
      <c r="D11" s="4"/>
      <c r="F11" s="5" t="s">
        <v>49</v>
      </c>
      <c r="G11" s="4" t="s">
        <v>50</v>
      </c>
      <c r="H11" s="4" t="s">
        <v>51</v>
      </c>
      <c r="I11" s="4" t="s">
        <v>29</v>
      </c>
      <c r="J11" s="4" t="s">
        <v>29</v>
      </c>
      <c r="L11" s="4" t="s">
        <v>30</v>
      </c>
      <c r="M11" s="4"/>
      <c r="N11" s="4">
        <f>IF(M11="","",IFERROR(INDEX($AC$8:$AC$100,MATCH(M11,$AB$8:$AB$100,0)),""))</f>
      </c>
      <c r="O11" s="6">
        <f>IF(M11="","",IFERROR(INDEX($AD$8:$AD$100,MATCH(M11,$AB$8:$AB$100,0)),""))</f>
      </c>
      <c r="P11" s="4"/>
      <c r="Q11" s="4"/>
      <c r="R11" s="4"/>
      <c r="T11" s="4" t="s">
        <v>32</v>
      </c>
      <c r="U11" s="4"/>
      <c r="V11" s="4">
        <f>IF(U11="","",IFERROR(INDEX($AC$8:$AC$100,MATCH(U11,$AB$8:$AB$100,0)),""))</f>
      </c>
      <c r="W11" s="6">
        <f>IF(U11="","",IFERROR(INDEX($AD$8:$AD$100,MATCH(U11,$AB$8:$AB$100,0)),""))</f>
      </c>
      <c r="X11" s="4"/>
      <c r="Y11" s="4"/>
      <c r="Z11" s="4"/>
      <c r="AB11" s="4" t="s">
        <v>52</v>
      </c>
      <c r="AC11" s="4" t="s">
        <v>26</v>
      </c>
      <c r="AD11" s="6">
        <v>42499</v>
      </c>
      <c r="AE11" s="4" t="s">
        <v>30</v>
      </c>
    </row>
    <row r="12" spans="2:31" x14ac:dyDescent="0.25">
      <c r="B12" s="4"/>
      <c r="C12" s="4"/>
      <c r="D12" s="4"/>
      <c r="F12" s="4" t="s">
        <v>37</v>
      </c>
      <c r="G12" s="4" t="s">
        <v>50</v>
      </c>
      <c r="H12" s="4" t="s">
        <v>46</v>
      </c>
      <c r="I12" s="4" t="s">
        <v>29</v>
      </c>
      <c r="J12" s="4" t="s">
        <v>29</v>
      </c>
      <c r="L12" s="4" t="s">
        <v>30</v>
      </c>
      <c r="M12" s="4"/>
      <c r="N12" s="4">
        <f>IF(M12="","",IFERROR(INDEX($AC$8:$AC$100,MATCH(M12,$AB$8:$AB$100,0)),""))</f>
      </c>
      <c r="O12" s="6">
        <f>IF(M12="","",IFERROR(INDEX($AD$8:$AD$100,MATCH(M12,$AB$8:$AB$100,0)),""))</f>
      </c>
      <c r="P12" s="4"/>
      <c r="Q12" s="4"/>
      <c r="R12" s="4"/>
      <c r="T12" s="4" t="s">
        <v>32</v>
      </c>
      <c r="U12" s="4"/>
      <c r="V12" s="4">
        <f>IF(U12="","",IFERROR(INDEX($AC$8:$AC$100,MATCH(U12,$AB$8:$AB$100,0)),""))</f>
      </c>
      <c r="W12" s="6">
        <f>IF(U12="","",IFERROR(INDEX($AD$8:$AD$100,MATCH(U12,$AB$8:$AB$100,0)),""))</f>
      </c>
      <c r="X12" s="4"/>
      <c r="Y12" s="4"/>
      <c r="Z12" s="4"/>
      <c r="AB12" s="4" t="s">
        <v>24</v>
      </c>
      <c r="AC12" s="4" t="s">
        <v>28</v>
      </c>
      <c r="AD12" s="6">
        <v>41155</v>
      </c>
      <c r="AE12" s="4" t="s">
        <v>30</v>
      </c>
    </row>
    <row r="13" spans="2:31" x14ac:dyDescent="0.25">
      <c r="B13" s="4"/>
      <c r="C13" s="4"/>
      <c r="D13" s="4"/>
      <c r="F13" s="4" t="s">
        <v>37</v>
      </c>
      <c r="G13" s="4" t="s">
        <v>50</v>
      </c>
      <c r="H13" s="4" t="s">
        <v>47</v>
      </c>
      <c r="I13" s="4" t="s">
        <v>29</v>
      </c>
      <c r="J13" s="4" t="s">
        <v>29</v>
      </c>
      <c r="L13" s="4" t="s">
        <v>30</v>
      </c>
      <c r="M13" s="4"/>
      <c r="N13" s="4">
        <f>IF(M13="","",IFERROR(INDEX($AC$8:$AC$100,MATCH(M13,$AB$8:$AB$100,0)),""))</f>
      </c>
      <c r="O13" s="6">
        <f>IF(M13="","",IFERROR(INDEX($AD$8:$AD$100,MATCH(M13,$AB$8:$AB$100,0)),""))</f>
      </c>
      <c r="P13" s="4"/>
      <c r="Q13" s="4"/>
      <c r="R13" s="4"/>
      <c r="T13" s="4" t="s">
        <v>32</v>
      </c>
      <c r="U13" s="4"/>
      <c r="V13" s="4">
        <f>IF(U13="","",IFERROR(INDEX($AC$8:$AC$100,MATCH(U13,$AB$8:$AB$100,0)),""))</f>
      </c>
      <c r="W13" s="6">
        <f>IF(U13="","",IFERROR(INDEX($AD$8:$AD$100,MATCH(U13,$AB$8:$AB$100,0)),""))</f>
      </c>
      <c r="X13" s="4"/>
      <c r="Y13" s="4"/>
      <c r="Z13" s="4"/>
      <c r="AB13" s="4" t="s">
        <v>35</v>
      </c>
      <c r="AC13" s="4" t="s">
        <v>28</v>
      </c>
      <c r="AD13" s="6">
        <v>42112</v>
      </c>
      <c r="AE13" s="4" t="s">
        <v>30</v>
      </c>
    </row>
    <row r="14" spans="2:31" x14ac:dyDescent="0.25">
      <c r="B14" s="4"/>
      <c r="C14" s="4"/>
      <c r="D14" s="4"/>
      <c r="F14" s="5" t="s">
        <v>53</v>
      </c>
      <c r="G14" s="4" t="s">
        <v>50</v>
      </c>
      <c r="H14" s="4" t="s">
        <v>54</v>
      </c>
      <c r="I14" s="4" t="s">
        <v>29</v>
      </c>
      <c r="J14" s="4" t="s">
        <v>29</v>
      </c>
      <c r="L14" s="4" t="s">
        <v>30</v>
      </c>
      <c r="M14" s="4"/>
      <c r="N14" s="4">
        <f>IF(M14="","",IFERROR(INDEX($AC$8:$AC$100,MATCH(M14,$AB$8:$AB$100,0)),""))</f>
      </c>
      <c r="O14" s="6">
        <f>IF(M14="","",IFERROR(INDEX($AD$8:$AD$100,MATCH(M14,$AB$8:$AB$100,0)),""))</f>
      </c>
      <c r="P14" s="4"/>
      <c r="Q14" s="4"/>
      <c r="R14" s="4"/>
      <c r="T14" s="4" t="s">
        <v>32</v>
      </c>
      <c r="U14" s="4"/>
      <c r="V14" s="4">
        <f>IF(U14="","",IFERROR(INDEX($AC$8:$AC$100,MATCH(U14,$AB$8:$AB$100,0)),""))</f>
      </c>
      <c r="W14" s="6">
        <f>IF(U14="","",IFERROR(INDEX($AD$8:$AD$100,MATCH(U14,$AB$8:$AB$100,0)),""))</f>
      </c>
      <c r="X14" s="4"/>
      <c r="Y14" s="4"/>
      <c r="Z14" s="4"/>
      <c r="AB14" s="4" t="s">
        <v>33</v>
      </c>
      <c r="AC14" s="4" t="s">
        <v>43</v>
      </c>
      <c r="AD14" s="6">
        <v>42311</v>
      </c>
      <c r="AE14" s="4" t="s">
        <v>32</v>
      </c>
    </row>
    <row r="15" spans="6:31" x14ac:dyDescent="0.25">
      <c r="F15" s="5" t="s">
        <v>55</v>
      </c>
      <c r="G15" s="4" t="s">
        <v>50</v>
      </c>
      <c r="H15" s="4" t="s">
        <v>54</v>
      </c>
      <c r="I15" s="4" t="s">
        <v>29</v>
      </c>
      <c r="J15" s="4" t="s">
        <v>29</v>
      </c>
      <c r="L15" s="4" t="s">
        <v>30</v>
      </c>
      <c r="M15" s="4"/>
      <c r="N15" s="4">
        <f>IF(M15="","",IFERROR(INDEX($AC$8:$AC$100,MATCH(M15,$AB$8:$AB$100,0)),""))</f>
      </c>
      <c r="O15" s="6">
        <f>IF(M15="","",IFERROR(INDEX($AD$8:$AD$100,MATCH(M15,$AB$8:$AB$100,0)),""))</f>
      </c>
      <c r="P15" s="4"/>
      <c r="Q15" s="4"/>
      <c r="R15" s="4"/>
      <c r="T15" s="4" t="s">
        <v>32</v>
      </c>
      <c r="U15" s="4"/>
      <c r="V15" s="4">
        <f>IF(U15="","",IFERROR(INDEX($AC$8:$AC$100,MATCH(U15,$AB$8:$AB$100,0)),""))</f>
      </c>
      <c r="W15" s="6">
        <f>IF(U15="","",IFERROR(INDEX($AD$8:$AD$100,MATCH(U15,$AB$8:$AB$100,0)),""))</f>
      </c>
      <c r="X15" s="4"/>
      <c r="Y15" s="4"/>
      <c r="Z15" s="4"/>
      <c r="AB15" s="4" t="s">
        <v>41</v>
      </c>
      <c r="AC15" s="4" t="s">
        <v>46</v>
      </c>
      <c r="AD15" s="6">
        <v>44241</v>
      </c>
      <c r="AE15" s="4" t="s">
        <v>32</v>
      </c>
    </row>
    <row r="16" spans="6:31" x14ac:dyDescent="0.25">
      <c r="F16" s="5" t="s">
        <v>56</v>
      </c>
      <c r="G16" s="4" t="s">
        <v>50</v>
      </c>
      <c r="H16" s="4" t="s">
        <v>54</v>
      </c>
      <c r="I16" s="4" t="s">
        <v>29</v>
      </c>
      <c r="J16" s="4" t="s">
        <v>29</v>
      </c>
      <c r="L16" s="4" t="s">
        <v>30</v>
      </c>
      <c r="M16" s="4"/>
      <c r="N16" s="4">
        <f>IF(M16="","",IFERROR(INDEX($AC$8:$AC$100,MATCH(M16,$AB$8:$AB$100,0)),""))</f>
      </c>
      <c r="O16" s="6">
        <f>IF(M16="","",IFERROR(INDEX($AD$8:$AD$100,MATCH(M16,$AB$8:$AB$100,0)),""))</f>
      </c>
      <c r="P16" s="4"/>
      <c r="Q16" s="4"/>
      <c r="R16" s="4"/>
      <c r="T16" s="4" t="s">
        <v>32</v>
      </c>
      <c r="U16" s="4"/>
      <c r="V16" s="4">
        <f>IF(U16="","",IFERROR(INDEX($AC$8:$AC$100,MATCH(U16,$AB$8:$AB$100,0)),""))</f>
      </c>
      <c r="W16" s="6">
        <f>IF(U16="","",IFERROR(INDEX($AD$8:$AD$100,MATCH(U16,$AB$8:$AB$100,0)),""))</f>
      </c>
      <c r="X16" s="4"/>
      <c r="Y16" s="4"/>
      <c r="Z16" s="4"/>
      <c r="AB16" s="4" t="s">
        <v>39</v>
      </c>
      <c r="AC16" s="4" t="s">
        <v>26</v>
      </c>
      <c r="AD16" s="6">
        <v>42935</v>
      </c>
      <c r="AE16" s="4" t="s">
        <v>32</v>
      </c>
    </row>
    <row r="17" spans="6:31" x14ac:dyDescent="0.25">
      <c r="F17" s="5" t="s">
        <v>57</v>
      </c>
      <c r="G17" s="4" t="s">
        <v>50</v>
      </c>
      <c r="H17" s="4" t="s">
        <v>54</v>
      </c>
      <c r="I17" s="4" t="s">
        <v>29</v>
      </c>
      <c r="J17" s="4" t="s">
        <v>29</v>
      </c>
      <c r="L17" s="4" t="s">
        <v>30</v>
      </c>
      <c r="M17" s="4"/>
      <c r="N17" s="4">
        <f>IF(M17="","",IFERROR(INDEX($AC$8:$AC$100,MATCH(M17,$AB$8:$AB$100,0)),""))</f>
      </c>
      <c r="O17" s="6">
        <f>IF(M17="","",IFERROR(INDEX($AD$8:$AD$100,MATCH(M17,$AB$8:$AB$100,0)),""))</f>
      </c>
      <c r="P17" s="4"/>
      <c r="Q17" s="4"/>
      <c r="R17" s="4"/>
      <c r="T17" s="4" t="s">
        <v>32</v>
      </c>
      <c r="U17" s="4"/>
      <c r="V17" s="4">
        <f>IF(U17="","",IFERROR(INDEX($AC$8:$AC$100,MATCH(U17,$AB$8:$AB$100,0)),""))</f>
      </c>
      <c r="W17" s="6">
        <f>IF(U17="","",IFERROR(INDEX($AD$8:$AD$100,MATCH(U17,$AB$8:$AB$100,0)),""))</f>
      </c>
      <c r="X17" s="4"/>
      <c r="Y17" s="4"/>
      <c r="Z17" s="4"/>
      <c r="AB17" s="4" t="s">
        <v>58</v>
      </c>
      <c r="AC17" s="4" t="s">
        <v>44</v>
      </c>
      <c r="AD17" s="6">
        <v>43624</v>
      </c>
      <c r="AE17" s="4" t="s">
        <v>32</v>
      </c>
    </row>
    <row r="18" spans="6:31" x14ac:dyDescent="0.25">
      <c r="F18" s="5" t="s">
        <v>59</v>
      </c>
      <c r="G18" s="4" t="s">
        <v>50</v>
      </c>
      <c r="H18" s="4" t="s">
        <v>54</v>
      </c>
      <c r="I18" s="4" t="s">
        <v>29</v>
      </c>
      <c r="J18" s="4" t="s">
        <v>29</v>
      </c>
      <c r="L18" s="4" t="s">
        <v>30</v>
      </c>
      <c r="M18" s="4"/>
      <c r="N18" s="4">
        <f>IF(M18="","",IFERROR(INDEX($AC$8:$AC$100,MATCH(M18,$AB$8:$AB$100,0)),""))</f>
      </c>
      <c r="O18" s="6">
        <f>IF(M18="","",IFERROR(INDEX($AD$8:$AD$100,MATCH(M18,$AB$8:$AB$100,0)),""))</f>
      </c>
      <c r="P18" s="4"/>
      <c r="Q18" s="4"/>
      <c r="R18" s="4"/>
      <c r="T18" s="4" t="s">
        <v>32</v>
      </c>
      <c r="U18" s="4"/>
      <c r="V18" s="4">
        <f>IF(U18="","",IFERROR(INDEX($AC$8:$AC$100,MATCH(U18,$AB$8:$AB$100,0)),""))</f>
      </c>
      <c r="W18" s="6">
        <f>IF(U18="","",IFERROR(INDEX($AD$8:$AD$100,MATCH(U18,$AB$8:$AB$100,0)),""))</f>
      </c>
      <c r="X18" s="4"/>
      <c r="Y18" s="4"/>
      <c r="Z18" s="4"/>
      <c r="AB18" s="4" t="s">
        <v>60</v>
      </c>
      <c r="AC18" s="4" t="s">
        <v>28</v>
      </c>
      <c r="AD18" s="6">
        <v>41609</v>
      </c>
      <c r="AE18" s="4" t="s">
        <v>32</v>
      </c>
    </row>
    <row r="19" spans="6:31" x14ac:dyDescent="0.25">
      <c r="F19" s="5" t="s">
        <v>61</v>
      </c>
      <c r="G19" s="4" t="s">
        <v>50</v>
      </c>
      <c r="H19" s="4" t="s">
        <v>54</v>
      </c>
      <c r="I19" s="4" t="s">
        <v>29</v>
      </c>
      <c r="J19" s="4" t="s">
        <v>29</v>
      </c>
      <c r="L19" s="4" t="s">
        <v>30</v>
      </c>
      <c r="M19" s="4"/>
      <c r="N19" s="4">
        <f>IF(M19="","",IFERROR(INDEX($AC$8:$AC$100,MATCH(M19,$AB$8:$AB$100,0)),""))</f>
      </c>
      <c r="O19" s="6">
        <f>IF(M19="","",IFERROR(INDEX($AD$8:$AD$100,MATCH(M19,$AB$8:$AB$100,0)),""))</f>
      </c>
      <c r="P19" s="4"/>
      <c r="Q19" s="4"/>
      <c r="R19" s="4"/>
      <c r="T19" s="4" t="s">
        <v>32</v>
      </c>
      <c r="U19" s="4"/>
      <c r="V19" s="4">
        <f>IF(U19="","",IFERROR(INDEX($AC$8:$AC$100,MATCH(U19,$AB$8:$AB$100,0)),""))</f>
      </c>
      <c r="W19" s="6">
        <f>IF(U19="","",IFERROR(INDEX($AD$8:$AD$100,MATCH(U19,$AB$8:$AB$100,0)),""))</f>
      </c>
      <c r="X19" s="4"/>
      <c r="Y19" s="4"/>
      <c r="Z19" s="4"/>
      <c r="AB19" s="4" t="s">
        <v>62</v>
      </c>
      <c r="AC19" s="4" t="s">
        <v>28</v>
      </c>
      <c r="AD19" s="6">
        <v>43363</v>
      </c>
      <c r="AE19" s="4" t="s">
        <v>32</v>
      </c>
    </row>
    <row r="20" spans="12:31" x14ac:dyDescent="0.25">
      <c r="L20" s="4" t="s">
        <v>30</v>
      </c>
      <c r="M20" s="4"/>
      <c r="N20" s="4">
        <f>IF(M20="","",IFERROR(INDEX($AC$8:$AC$100,MATCH(M20,$AB$8:$AB$100,0)),""))</f>
      </c>
      <c r="O20" s="6">
        <f>IF(M20="","",IFERROR(INDEX($AD$8:$AD$100,MATCH(M20,$AB$8:$AB$100,0)),""))</f>
      </c>
      <c r="P20" s="4"/>
      <c r="Q20" s="4"/>
      <c r="R20" s="4"/>
      <c r="T20" s="4" t="s">
        <v>32</v>
      </c>
      <c r="U20" s="4"/>
      <c r="V20" s="4">
        <f>IF(U20="","",IFERROR(INDEX($AC$8:$AC$100,MATCH(U20,$AB$8:$AB$100,0)),""))</f>
      </c>
      <c r="W20" s="6">
        <f>IF(U20="","",IFERROR(INDEX($AD$8:$AD$100,MATCH(U20,$AB$8:$AB$100,0)),""))</f>
      </c>
      <c r="X20" s="4"/>
      <c r="Y20" s="4"/>
      <c r="Z20" s="4"/>
      <c r="AB20" s="4" t="s">
        <v>63</v>
      </c>
      <c r="AC20" s="4" t="s">
        <v>55</v>
      </c>
      <c r="AD20" s="6">
        <v>42428</v>
      </c>
      <c r="AE20" s="4" t="s">
        <v>32</v>
      </c>
    </row>
    <row r="21" spans="12:31" x14ac:dyDescent="0.25">
      <c r="L21" s="4" t="s">
        <v>30</v>
      </c>
      <c r="M21" s="4"/>
      <c r="N21" s="4">
        <f>IF(M21="","",IFERROR(INDEX($AC$8:$AC$100,MATCH(M21,$AB$8:$AB$100,0)),""))</f>
      </c>
      <c r="O21" s="6">
        <f>IF(M21="","",IFERROR(INDEX($AD$8:$AD$100,MATCH(M21,$AB$8:$AB$100,0)),""))</f>
      </c>
      <c r="P21" s="4"/>
      <c r="Q21" s="4"/>
      <c r="R21" s="4"/>
      <c r="T21" s="4" t="s">
        <v>32</v>
      </c>
      <c r="U21" s="4"/>
      <c r="V21" s="4">
        <f>IF(U21="","",IFERROR(INDEX($AC$8:$AC$100,MATCH(U21,$AB$8:$AB$100,0)),""))</f>
      </c>
      <c r="W21" s="6">
        <f>IF(U21="","",IFERROR(INDEX($AD$8:$AD$100,MATCH(U21,$AB$8:$AB$100,0)),""))</f>
      </c>
      <c r="X21" s="4"/>
      <c r="Y21" s="4"/>
      <c r="Z21" s="4"/>
      <c r="AB21" s="4"/>
      <c r="AC21" s="4"/>
      <c r="AD21" s="6"/>
      <c r="AE21" s="4"/>
    </row>
    <row r="22" spans="12:31" x14ac:dyDescent="0.25">
      <c r="L22" s="4" t="s">
        <v>30</v>
      </c>
      <c r="M22" s="4"/>
      <c r="N22" s="4">
        <f>IF(M22="","",IFERROR(INDEX($AC$8:$AC$100,MATCH(M22,$AB$8:$AB$100,0)),""))</f>
      </c>
      <c r="O22" s="6">
        <f>IF(M22="","",IFERROR(INDEX($AD$8:$AD$100,MATCH(M22,$AB$8:$AB$100,0)),""))</f>
      </c>
      <c r="P22" s="4"/>
      <c r="Q22" s="4"/>
      <c r="R22" s="4"/>
      <c r="T22" s="4" t="s">
        <v>32</v>
      </c>
      <c r="U22" s="4"/>
      <c r="V22" s="4">
        <f>IF(U22="","",IFERROR(INDEX($AC$8:$AC$100,MATCH(U22,$AB$8:$AB$100,0)),""))</f>
      </c>
      <c r="W22" s="6">
        <f>IF(U22="","",IFERROR(INDEX($AD$8:$AD$100,MATCH(U22,$AB$8:$AB$100,0)),""))</f>
      </c>
      <c r="X22" s="4"/>
      <c r="Y22" s="4"/>
      <c r="Z22" s="4"/>
      <c r="AB22" s="4"/>
      <c r="AC22" s="4"/>
      <c r="AD22" s="6"/>
      <c r="AE22" s="4"/>
    </row>
    <row r="23" spans="12:31" x14ac:dyDescent="0.25">
      <c r="L23" s="4" t="s">
        <v>30</v>
      </c>
      <c r="M23" s="4"/>
      <c r="N23" s="4">
        <f>IF(M23="","",IFERROR(INDEX($AC$8:$AC$100,MATCH(M23,$AB$8:$AB$100,0)),""))</f>
      </c>
      <c r="O23" s="6">
        <f>IF(M23="","",IFERROR(INDEX($AD$8:$AD$100,MATCH(M23,$AB$8:$AB$100,0)),""))</f>
      </c>
      <c r="P23" s="4"/>
      <c r="Q23" s="4"/>
      <c r="R23" s="4"/>
      <c r="T23" s="4" t="s">
        <v>32</v>
      </c>
      <c r="U23" s="4"/>
      <c r="V23" s="4">
        <f>IF(U23="","",IFERROR(INDEX($AC$8:$AC$100,MATCH(U23,$AB$8:$AB$100,0)),""))</f>
      </c>
      <c r="W23" s="6">
        <f>IF(U23="","",IFERROR(INDEX($AD$8:$AD$100,MATCH(U23,$AB$8:$AB$100,0)),""))</f>
      </c>
      <c r="X23" s="4"/>
      <c r="Y23" s="4"/>
      <c r="Z23" s="4"/>
      <c r="AB23" s="4"/>
      <c r="AC23" s="4"/>
      <c r="AD23" s="6"/>
      <c r="AE23" s="4"/>
    </row>
    <row r="24" spans="12:31" x14ac:dyDescent="0.25">
      <c r="L24" s="4" t="s">
        <v>30</v>
      </c>
      <c r="M24" s="4"/>
      <c r="N24" s="4">
        <f>IF(M24="","",IFERROR(INDEX($AC$8:$AC$100,MATCH(M24,$AB$8:$AB$100,0)),""))</f>
      </c>
      <c r="O24" s="6">
        <f>IF(M24="","",IFERROR(INDEX($AD$8:$AD$100,MATCH(M24,$AB$8:$AB$100,0)),""))</f>
      </c>
      <c r="P24" s="4"/>
      <c r="Q24" s="4"/>
      <c r="R24" s="4"/>
      <c r="T24" s="4" t="s">
        <v>32</v>
      </c>
      <c r="U24" s="4"/>
      <c r="V24" s="4">
        <f>IF(U24="","",IFERROR(INDEX($AC$8:$AC$100,MATCH(U24,$AB$8:$AB$100,0)),""))</f>
      </c>
      <c r="W24" s="6">
        <f>IF(U24="","",IFERROR(INDEX($AD$8:$AD$100,MATCH(U24,$AB$8:$AB$100,0)),""))</f>
      </c>
      <c r="X24" s="4"/>
      <c r="Y24" s="4"/>
      <c r="Z24" s="4"/>
      <c r="AB24" s="4"/>
      <c r="AC24" s="4"/>
      <c r="AD24" s="6"/>
      <c r="AE24" s="4"/>
    </row>
    <row r="25" spans="12:31" x14ac:dyDescent="0.25">
      <c r="L25" s="4" t="s">
        <v>30</v>
      </c>
      <c r="M25" s="4"/>
      <c r="N25" s="4">
        <f>IF(M25="","",IFERROR(INDEX($AC$8:$AC$100,MATCH(M25,$AB$8:$AB$100,0)),""))</f>
      </c>
      <c r="O25" s="6">
        <f>IF(M25="","",IFERROR(INDEX($AD$8:$AD$100,MATCH(M25,$AB$8:$AB$100,0)),""))</f>
      </c>
      <c r="P25" s="4"/>
      <c r="Q25" s="4"/>
      <c r="R25" s="4"/>
      <c r="T25" s="4" t="s">
        <v>32</v>
      </c>
      <c r="U25" s="4"/>
      <c r="V25" s="4">
        <f>IF(U25="","",IFERROR(INDEX($AC$8:$AC$100,MATCH(U25,$AB$8:$AB$100,0)),""))</f>
      </c>
      <c r="W25" s="6">
        <f>IF(U25="","",IFERROR(INDEX($AD$8:$AD$100,MATCH(U25,$AB$8:$AB$100,0)),""))</f>
      </c>
      <c r="X25" s="4"/>
      <c r="Y25" s="4"/>
      <c r="Z25" s="4"/>
      <c r="AB25" s="4"/>
      <c r="AC25" s="4"/>
      <c r="AD25" s="6"/>
      <c r="AE25" s="4"/>
    </row>
    <row r="26" spans="12:31" x14ac:dyDescent="0.25">
      <c r="L26" s="4" t="s">
        <v>30</v>
      </c>
      <c r="M26" s="4"/>
      <c r="N26" s="4">
        <f>IF(M26="","",IFERROR(INDEX($AC$8:$AC$100,MATCH(M26,$AB$8:$AB$100,0)),""))</f>
      </c>
      <c r="O26" s="6">
        <f>IF(M26="","",IFERROR(INDEX($AD$8:$AD$100,MATCH(M26,$AB$8:$AB$100,0)),""))</f>
      </c>
      <c r="P26" s="4"/>
      <c r="Q26" s="4"/>
      <c r="R26" s="4"/>
      <c r="T26" s="4" t="s">
        <v>32</v>
      </c>
      <c r="U26" s="4"/>
      <c r="V26" s="4">
        <f>IF(U26="","",IFERROR(INDEX($AC$8:$AC$100,MATCH(U26,$AB$8:$AB$100,0)),""))</f>
      </c>
      <c r="W26" s="6">
        <f>IF(U26="","",IFERROR(INDEX($AD$8:$AD$100,MATCH(U26,$AB$8:$AB$100,0)),""))</f>
      </c>
      <c r="X26" s="4"/>
      <c r="Y26" s="4"/>
      <c r="Z26" s="4"/>
      <c r="AB26" s="4"/>
      <c r="AC26" s="4"/>
      <c r="AD26" s="6"/>
      <c r="AE26" s="4"/>
    </row>
    <row r="27" spans="12:31" x14ac:dyDescent="0.25">
      <c r="L27" s="4" t="s">
        <v>30</v>
      </c>
      <c r="M27" s="4"/>
      <c r="N27" s="4">
        <f>IF(M27="","",IFERROR(INDEX($AC$8:$AC$100,MATCH(M27,$AB$8:$AB$100,0)),""))</f>
      </c>
      <c r="O27" s="6">
        <f>IF(M27="","",IFERROR(INDEX($AD$8:$AD$100,MATCH(M27,$AB$8:$AB$100,0)),""))</f>
      </c>
      <c r="P27" s="4"/>
      <c r="Q27" s="4"/>
      <c r="R27" s="4"/>
      <c r="T27" s="4" t="s">
        <v>32</v>
      </c>
      <c r="U27" s="4"/>
      <c r="V27" s="4">
        <f>IF(U27="","",IFERROR(INDEX($AC$8:$AC$100,MATCH(U27,$AB$8:$AB$100,0)),""))</f>
      </c>
      <c r="W27" s="6">
        <f>IF(U27="","",IFERROR(INDEX($AD$8:$AD$100,MATCH(U27,$AB$8:$AB$100,0)),""))</f>
      </c>
      <c r="X27" s="4"/>
      <c r="Y27" s="4"/>
      <c r="Z27" s="4"/>
      <c r="AB27" s="4"/>
      <c r="AC27" s="4"/>
      <c r="AD27" s="6"/>
      <c r="AE27" s="4"/>
    </row>
    <row r="28" spans="12:31" x14ac:dyDescent="0.25">
      <c r="L28" s="4" t="s">
        <v>30</v>
      </c>
      <c r="M28" s="4"/>
      <c r="N28" s="4">
        <f>IF(M28="","",IFERROR(INDEX($AC$8:$AC$100,MATCH(M28,$AB$8:$AB$100,0)),""))</f>
      </c>
      <c r="O28" s="6">
        <f>IF(M28="","",IFERROR(INDEX($AD$8:$AD$100,MATCH(M28,$AB$8:$AB$100,0)),""))</f>
      </c>
      <c r="P28" s="4"/>
      <c r="Q28" s="4"/>
      <c r="R28" s="4"/>
      <c r="T28" s="4" t="s">
        <v>32</v>
      </c>
      <c r="U28" s="4"/>
      <c r="V28" s="4">
        <f>IF(U28="","",IFERROR(INDEX($AC$8:$AC$100,MATCH(U28,$AB$8:$AB$100,0)),""))</f>
      </c>
      <c r="W28" s="6">
        <f>IF(U28="","",IFERROR(INDEX($AD$8:$AD$100,MATCH(U28,$AB$8:$AB$100,0)),""))</f>
      </c>
      <c r="X28" s="4"/>
      <c r="Y28" s="4"/>
      <c r="Z28" s="4"/>
      <c r="AB28" s="4"/>
      <c r="AC28" s="4"/>
      <c r="AD28" s="6"/>
      <c r="AE28" s="4"/>
    </row>
    <row r="29" spans="12:31" x14ac:dyDescent="0.25">
      <c r="L29" s="4" t="s">
        <v>30</v>
      </c>
      <c r="M29" s="4"/>
      <c r="N29" s="4">
        <f>IF(M29="","",IFERROR(INDEX($AC$8:$AC$100,MATCH(M29,$AB$8:$AB$100,0)),""))</f>
      </c>
      <c r="O29" s="6">
        <f>IF(M29="","",IFERROR(INDEX($AD$8:$AD$100,MATCH(M29,$AB$8:$AB$100,0)),""))</f>
      </c>
      <c r="P29" s="4"/>
      <c r="Q29" s="4"/>
      <c r="R29" s="4"/>
      <c r="T29" s="4" t="s">
        <v>32</v>
      </c>
      <c r="U29" s="4"/>
      <c r="V29" s="4">
        <f>IF(U29="","",IFERROR(INDEX($AC$8:$AC$100,MATCH(U29,$AB$8:$AB$100,0)),""))</f>
      </c>
      <c r="W29" s="6">
        <f>IF(U29="","",IFERROR(INDEX($AD$8:$AD$100,MATCH(U29,$AB$8:$AB$100,0)),""))</f>
      </c>
      <c r="X29" s="4"/>
      <c r="Y29" s="4"/>
      <c r="Z29" s="4"/>
      <c r="AB29" s="4"/>
      <c r="AC29" s="4"/>
      <c r="AD29" s="6"/>
      <c r="AE29" s="4"/>
    </row>
    <row r="30" spans="12:31" x14ac:dyDescent="0.25">
      <c r="L30" s="4" t="s">
        <v>30</v>
      </c>
      <c r="M30" s="4"/>
      <c r="N30" s="4">
        <f>IF(M30="","",IFERROR(INDEX($AC$8:$AC$100,MATCH(M30,$AB$8:$AB$100,0)),""))</f>
      </c>
      <c r="O30" s="6">
        <f>IF(M30="","",IFERROR(INDEX($AD$8:$AD$100,MATCH(M30,$AB$8:$AB$100,0)),""))</f>
      </c>
      <c r="P30" s="4"/>
      <c r="Q30" s="4"/>
      <c r="R30" s="4"/>
      <c r="T30" s="4" t="s">
        <v>32</v>
      </c>
      <c r="U30" s="4"/>
      <c r="V30" s="4">
        <f>IF(U30="","",IFERROR(INDEX($AC$8:$AC$100,MATCH(U30,$AB$8:$AB$100,0)),""))</f>
      </c>
      <c r="W30" s="6">
        <f>IF(U30="","",IFERROR(INDEX($AD$8:$AD$100,MATCH(U30,$AB$8:$AB$100,0)),""))</f>
      </c>
      <c r="X30" s="4"/>
      <c r="Y30" s="4"/>
      <c r="Z30" s="4"/>
      <c r="AB30" s="4"/>
      <c r="AC30" s="4"/>
      <c r="AD30" s="6"/>
      <c r="AE30" s="4"/>
    </row>
    <row r="31" spans="12:31" x14ac:dyDescent="0.25">
      <c r="L31" s="4" t="s">
        <v>30</v>
      </c>
      <c r="M31" s="4"/>
      <c r="N31" s="4">
        <f>IF(M31="","",IFERROR(INDEX($AC$8:$AC$100,MATCH(M31,$AB$8:$AB$100,0)),""))</f>
      </c>
      <c r="O31" s="6">
        <f>IF(M31="","",IFERROR(INDEX($AD$8:$AD$100,MATCH(M31,$AB$8:$AB$100,0)),""))</f>
      </c>
      <c r="P31" s="4"/>
      <c r="Q31" s="4"/>
      <c r="R31" s="4"/>
      <c r="T31" s="4" t="s">
        <v>32</v>
      </c>
      <c r="U31" s="4"/>
      <c r="V31" s="4">
        <f>IF(U31="","",IFERROR(INDEX($AC$8:$AC$100,MATCH(U31,$AB$8:$AB$100,0)),""))</f>
      </c>
      <c r="W31" s="6">
        <f>IF(U31="","",IFERROR(INDEX($AD$8:$AD$100,MATCH(U31,$AB$8:$AB$100,0)),""))</f>
      </c>
      <c r="X31" s="4"/>
      <c r="Y31" s="4"/>
      <c r="Z31" s="4"/>
      <c r="AB31" s="4"/>
      <c r="AC31" s="4"/>
      <c r="AD31" s="6"/>
      <c r="AE31" s="4"/>
    </row>
    <row r="32" spans="12:31" x14ac:dyDescent="0.25">
      <c r="L32" s="4" t="s">
        <v>30</v>
      </c>
      <c r="M32" s="4"/>
      <c r="N32" s="4">
        <f>IF(M32="","",IFERROR(INDEX($AC$8:$AC$100,MATCH(M32,$AB$8:$AB$100,0)),""))</f>
      </c>
      <c r="O32" s="6">
        <f>IF(M32="","",IFERROR(INDEX($AD$8:$AD$100,MATCH(M32,$AB$8:$AB$100,0)),""))</f>
      </c>
      <c r="P32" s="4"/>
      <c r="Q32" s="4"/>
      <c r="R32" s="4"/>
      <c r="T32" s="4" t="s">
        <v>32</v>
      </c>
      <c r="U32" s="4"/>
      <c r="V32" s="4">
        <f>IF(U32="","",IFERROR(INDEX($AC$8:$AC$100,MATCH(U32,$AB$8:$AB$100,0)),""))</f>
      </c>
      <c r="W32" s="6">
        <f>IF(U32="","",IFERROR(INDEX($AD$8:$AD$100,MATCH(U32,$AB$8:$AB$100,0)),""))</f>
      </c>
      <c r="X32" s="4"/>
      <c r="Y32" s="4"/>
      <c r="Z32" s="4"/>
      <c r="AB32" s="4"/>
      <c r="AC32" s="4"/>
      <c r="AD32" s="6"/>
      <c r="AE32" s="4"/>
    </row>
    <row r="33" spans="12:31" x14ac:dyDescent="0.25">
      <c r="L33" s="4" t="s">
        <v>30</v>
      </c>
      <c r="M33" s="4"/>
      <c r="N33" s="4">
        <f>IF(M33="","",IFERROR(INDEX($AC$8:$AC$100,MATCH(M33,$AB$8:$AB$100,0)),""))</f>
      </c>
      <c r="O33" s="6">
        <f>IF(M33="","",IFERROR(INDEX($AD$8:$AD$100,MATCH(M33,$AB$8:$AB$100,0)),""))</f>
      </c>
      <c r="P33" s="4"/>
      <c r="Q33" s="4"/>
      <c r="R33" s="4"/>
      <c r="T33" s="4" t="s">
        <v>32</v>
      </c>
      <c r="U33" s="4"/>
      <c r="V33" s="4">
        <f>IF(U33="","",IFERROR(INDEX($AC$8:$AC$100,MATCH(U33,$AB$8:$AB$100,0)),""))</f>
      </c>
      <c r="W33" s="6">
        <f>IF(U33="","",IFERROR(INDEX($AD$8:$AD$100,MATCH(U33,$AB$8:$AB$100,0)),""))</f>
      </c>
      <c r="X33" s="4"/>
      <c r="Y33" s="4"/>
      <c r="Z33" s="4"/>
      <c r="AB33" s="4"/>
      <c r="AC33" s="4"/>
      <c r="AD33" s="6"/>
      <c r="AE33" s="4"/>
    </row>
    <row r="34" spans="12:31" x14ac:dyDescent="0.25">
      <c r="L34" s="4" t="s">
        <v>30</v>
      </c>
      <c r="M34" s="4"/>
      <c r="N34" s="4">
        <f>IF(M34="","",IFERROR(INDEX($AC$8:$AC$100,MATCH(M34,$AB$8:$AB$100,0)),""))</f>
      </c>
      <c r="O34" s="6">
        <f>IF(M34="","",IFERROR(INDEX($AD$8:$AD$100,MATCH(M34,$AB$8:$AB$100,0)),""))</f>
      </c>
      <c r="P34" s="4"/>
      <c r="Q34" s="4"/>
      <c r="R34" s="4"/>
      <c r="T34" s="4" t="s">
        <v>32</v>
      </c>
      <c r="U34" s="4"/>
      <c r="V34" s="4">
        <f>IF(U34="","",IFERROR(INDEX($AC$8:$AC$100,MATCH(U34,$AB$8:$AB$100,0)),""))</f>
      </c>
      <c r="W34" s="6">
        <f>IF(U34="","",IFERROR(INDEX($AD$8:$AD$100,MATCH(U34,$AB$8:$AB$100,0)),""))</f>
      </c>
      <c r="X34" s="4"/>
      <c r="Y34" s="4"/>
      <c r="Z34" s="4"/>
      <c r="AB34" s="4"/>
      <c r="AC34" s="4"/>
      <c r="AD34" s="6"/>
      <c r="AE34" s="4"/>
    </row>
    <row r="35" spans="12:31" x14ac:dyDescent="0.25">
      <c r="L35" s="4" t="s">
        <v>30</v>
      </c>
      <c r="M35" s="4"/>
      <c r="N35" s="4">
        <f>IF(M35="","",IFERROR(INDEX($AC$8:$AC$100,MATCH(M35,$AB$8:$AB$100,0)),""))</f>
      </c>
      <c r="O35" s="6">
        <f>IF(M35="","",IFERROR(INDEX($AD$8:$AD$100,MATCH(M35,$AB$8:$AB$100,0)),""))</f>
      </c>
      <c r="P35" s="4"/>
      <c r="Q35" s="4"/>
      <c r="R35" s="4"/>
      <c r="T35" s="4" t="s">
        <v>32</v>
      </c>
      <c r="U35" s="4"/>
      <c r="V35" s="4">
        <f>IF(U35="","",IFERROR(INDEX($AC$8:$AC$100,MATCH(U35,$AB$8:$AB$100,0)),""))</f>
      </c>
      <c r="W35" s="6">
        <f>IF(U35="","",IFERROR(INDEX($AD$8:$AD$100,MATCH(U35,$AB$8:$AB$100,0)),""))</f>
      </c>
      <c r="X35" s="4"/>
      <c r="Y35" s="4"/>
      <c r="Z35" s="4"/>
      <c r="AB35" s="4"/>
      <c r="AC35" s="4"/>
      <c r="AD35" s="6"/>
      <c r="AE35" s="4"/>
    </row>
    <row r="36" spans="12:31" x14ac:dyDescent="0.25">
      <c r="L36" s="4" t="s">
        <v>30</v>
      </c>
      <c r="M36" s="4"/>
      <c r="N36" s="4">
        <f>IF(M36="","",IFERROR(INDEX($AC$8:$AC$100,MATCH(M36,$AB$8:$AB$100,0)),""))</f>
      </c>
      <c r="O36" s="6">
        <f>IF(M36="","",IFERROR(INDEX($AD$8:$AD$100,MATCH(M36,$AB$8:$AB$100,0)),""))</f>
      </c>
      <c r="P36" s="4"/>
      <c r="Q36" s="4"/>
      <c r="R36" s="4"/>
      <c r="T36" s="4" t="s">
        <v>32</v>
      </c>
      <c r="U36" s="4"/>
      <c r="V36" s="4">
        <f>IF(U36="","",IFERROR(INDEX($AC$8:$AC$100,MATCH(U36,$AB$8:$AB$100,0)),""))</f>
      </c>
      <c r="W36" s="6">
        <f>IF(U36="","",IFERROR(INDEX($AD$8:$AD$100,MATCH(U36,$AB$8:$AB$100,0)),""))</f>
      </c>
      <c r="X36" s="4"/>
      <c r="Y36" s="4"/>
      <c r="Z36" s="4"/>
      <c r="AB36" s="4"/>
      <c r="AC36" s="4"/>
      <c r="AD36" s="6"/>
      <c r="AE36" s="4"/>
    </row>
    <row r="37" spans="12:31" x14ac:dyDescent="0.25">
      <c r="L37" s="4" t="s">
        <v>30</v>
      </c>
      <c r="M37" s="4"/>
      <c r="N37" s="4">
        <f>IF(M37="","",IFERROR(INDEX($AC$8:$AC$100,MATCH(M37,$AB$8:$AB$100,0)),""))</f>
      </c>
      <c r="O37" s="6">
        <f>IF(M37="","",IFERROR(INDEX($AD$8:$AD$100,MATCH(M37,$AB$8:$AB$100,0)),""))</f>
      </c>
      <c r="P37" s="4"/>
      <c r="Q37" s="4"/>
      <c r="R37" s="4"/>
      <c r="T37" s="4" t="s">
        <v>32</v>
      </c>
      <c r="U37" s="4"/>
      <c r="V37" s="4">
        <f>IF(U37="","",IFERROR(INDEX($AC$8:$AC$100,MATCH(U37,$AB$8:$AB$100,0)),""))</f>
      </c>
      <c r="W37" s="6">
        <f>IF(U37="","",IFERROR(INDEX($AD$8:$AD$100,MATCH(U37,$AB$8:$AB$100,0)),""))</f>
      </c>
      <c r="X37" s="4"/>
      <c r="Y37" s="4"/>
      <c r="Z37" s="4"/>
      <c r="AB37" s="4"/>
      <c r="AC37" s="4"/>
      <c r="AD37" s="6"/>
      <c r="AE37" s="4"/>
    </row>
    <row r="38" spans="12:31" x14ac:dyDescent="0.25">
      <c r="L38" s="4" t="s">
        <v>30</v>
      </c>
      <c r="M38" s="4"/>
      <c r="N38" s="4">
        <f>IF(M38="","",IFERROR(INDEX($AC$8:$AC$100,MATCH(M38,$AB$8:$AB$100,0)),""))</f>
      </c>
      <c r="O38" s="6">
        <f>IF(M38="","",IFERROR(INDEX($AD$8:$AD$100,MATCH(M38,$AB$8:$AB$100,0)),""))</f>
      </c>
      <c r="P38" s="4"/>
      <c r="Q38" s="4"/>
      <c r="R38" s="4"/>
      <c r="T38" s="4" t="s">
        <v>32</v>
      </c>
      <c r="U38" s="4"/>
      <c r="V38" s="4">
        <f>IF(U38="","",IFERROR(INDEX($AC$8:$AC$100,MATCH(U38,$AB$8:$AB$100,0)),""))</f>
      </c>
      <c r="W38" s="6">
        <f>IF(U38="","",IFERROR(INDEX($AD$8:$AD$100,MATCH(U38,$AB$8:$AB$100,0)),""))</f>
      </c>
      <c r="X38" s="4"/>
      <c r="Y38" s="4"/>
      <c r="Z38" s="4"/>
      <c r="AB38" s="4"/>
      <c r="AC38" s="4"/>
      <c r="AD38" s="6"/>
      <c r="AE38" s="4"/>
    </row>
    <row r="39" spans="12:31" x14ac:dyDescent="0.25">
      <c r="L39" s="4" t="s">
        <v>30</v>
      </c>
      <c r="M39" s="4"/>
      <c r="N39" s="4">
        <f>IF(M39="","",IFERROR(INDEX($AC$8:$AC$100,MATCH(M39,$AB$8:$AB$100,0)),""))</f>
      </c>
      <c r="O39" s="6">
        <f>IF(M39="","",IFERROR(INDEX($AD$8:$AD$100,MATCH(M39,$AB$8:$AB$100,0)),""))</f>
      </c>
      <c r="P39" s="4"/>
      <c r="Q39" s="4"/>
      <c r="R39" s="4"/>
      <c r="T39" s="4" t="s">
        <v>32</v>
      </c>
      <c r="U39" s="4"/>
      <c r="V39" s="4">
        <f>IF(U39="","",IFERROR(INDEX($AC$8:$AC$100,MATCH(U39,$AB$8:$AB$100,0)),""))</f>
      </c>
      <c r="W39" s="6">
        <f>IF(U39="","",IFERROR(INDEX($AD$8:$AD$100,MATCH(U39,$AB$8:$AB$100,0)),""))</f>
      </c>
      <c r="X39" s="4"/>
      <c r="Y39" s="4"/>
      <c r="Z39" s="4"/>
      <c r="AB39" s="4"/>
      <c r="AC39" s="4"/>
      <c r="AD39" s="6"/>
      <c r="AE39" s="4"/>
    </row>
    <row r="40" spans="12:31" x14ac:dyDescent="0.25">
      <c r="L40" s="4" t="s">
        <v>30</v>
      </c>
      <c r="M40" s="4"/>
      <c r="N40" s="4">
        <f>IF(M40="","",IFERROR(INDEX($AC$8:$AC$100,MATCH(M40,$AB$8:$AB$100,0)),""))</f>
      </c>
      <c r="O40" s="6">
        <f>IF(M40="","",IFERROR(INDEX($AD$8:$AD$100,MATCH(M40,$AB$8:$AB$100,0)),""))</f>
      </c>
      <c r="P40" s="4"/>
      <c r="Q40" s="4"/>
      <c r="R40" s="4"/>
      <c r="T40" s="4" t="s">
        <v>32</v>
      </c>
      <c r="U40" s="4"/>
      <c r="V40" s="4">
        <f>IF(U40="","",IFERROR(INDEX($AC$8:$AC$100,MATCH(U40,$AB$8:$AB$100,0)),""))</f>
      </c>
      <c r="W40" s="6">
        <f>IF(U40="","",IFERROR(INDEX($AD$8:$AD$100,MATCH(U40,$AB$8:$AB$100,0)),""))</f>
      </c>
      <c r="X40" s="4"/>
      <c r="Y40" s="4"/>
      <c r="Z40" s="4"/>
      <c r="AB40" s="4"/>
      <c r="AC40" s="4"/>
      <c r="AD40" s="6"/>
      <c r="AE40" s="4"/>
    </row>
    <row r="41" spans="28:31" x14ac:dyDescent="0.25">
      <c r="AB41" s="4"/>
      <c r="AC41" s="4"/>
      <c r="AD41" s="6"/>
      <c r="AE41" s="4"/>
    </row>
    <row r="42" spans="28:31" x14ac:dyDescent="0.25">
      <c r="AB42" s="4"/>
      <c r="AC42" s="4"/>
      <c r="AD42" s="6"/>
      <c r="AE42" s="4"/>
    </row>
    <row r="43" spans="28:31" x14ac:dyDescent="0.25">
      <c r="AB43" s="4"/>
      <c r="AC43" s="4"/>
      <c r="AD43" s="6"/>
      <c r="AE43" s="4"/>
    </row>
    <row r="44" spans="28:31" x14ac:dyDescent="0.25">
      <c r="AB44" s="4"/>
      <c r="AC44" s="4"/>
      <c r="AD44" s="6"/>
      <c r="AE44" s="4"/>
    </row>
    <row r="45" spans="28:31" x14ac:dyDescent="0.25">
      <c r="AB45" s="4"/>
      <c r="AC45" s="4"/>
      <c r="AD45" s="6"/>
      <c r="AE45" s="4"/>
    </row>
    <row r="46" spans="28:31" x14ac:dyDescent="0.25">
      <c r="AB46" s="4"/>
      <c r="AC46" s="4"/>
      <c r="AD46" s="6"/>
      <c r="AE46" s="4"/>
    </row>
    <row r="47" spans="28:31" x14ac:dyDescent="0.25">
      <c r="AB47" s="4"/>
      <c r="AC47" s="4"/>
      <c r="AD47" s="6"/>
      <c r="AE47" s="4"/>
    </row>
    <row r="48" spans="28:31" x14ac:dyDescent="0.25">
      <c r="AB48" s="4"/>
      <c r="AC48" s="4"/>
      <c r="AD48" s="6"/>
      <c r="AE48" s="4"/>
    </row>
    <row r="49" spans="28:31" x14ac:dyDescent="0.25">
      <c r="AB49" s="4"/>
      <c r="AC49" s="4"/>
      <c r="AD49" s="6"/>
      <c r="AE49" s="4"/>
    </row>
    <row r="50" spans="28:31" x14ac:dyDescent="0.25">
      <c r="AB50" s="4"/>
      <c r="AC50" s="4"/>
      <c r="AD50" s="6"/>
      <c r="AE50" s="4"/>
    </row>
    <row r="51" spans="28:31" x14ac:dyDescent="0.25">
      <c r="AB51" s="4"/>
      <c r="AC51" s="4"/>
      <c r="AD51" s="6"/>
      <c r="AE51" s="4"/>
    </row>
    <row r="52" spans="28:31" x14ac:dyDescent="0.25">
      <c r="AB52" s="4"/>
      <c r="AC52" s="4"/>
      <c r="AD52" s="6"/>
      <c r="AE52" s="4"/>
    </row>
    <row r="53" spans="28:31" x14ac:dyDescent="0.25">
      <c r="AB53" s="4"/>
      <c r="AC53" s="4"/>
      <c r="AD53" s="6"/>
      <c r="AE53" s="4"/>
    </row>
    <row r="54" spans="28:31" x14ac:dyDescent="0.25">
      <c r="AB54" s="4"/>
      <c r="AC54" s="4"/>
      <c r="AD54" s="6"/>
      <c r="AE54" s="4"/>
    </row>
    <row r="55" spans="28:31" x14ac:dyDescent="0.25">
      <c r="AB55" s="4"/>
      <c r="AC55" s="4"/>
      <c r="AD55" s="6"/>
      <c r="AE55" s="4"/>
    </row>
    <row r="56" spans="28:31" x14ac:dyDescent="0.25">
      <c r="AB56" s="4"/>
      <c r="AC56" s="4"/>
      <c r="AD56" s="6"/>
      <c r="AE56" s="4"/>
    </row>
    <row r="57" spans="28:31" x14ac:dyDescent="0.25">
      <c r="AB57" s="4"/>
      <c r="AC57" s="4"/>
      <c r="AD57" s="6"/>
      <c r="AE57" s="4"/>
    </row>
    <row r="58" spans="28:31" x14ac:dyDescent="0.25">
      <c r="AB58" s="4"/>
      <c r="AC58" s="4"/>
      <c r="AD58" s="6"/>
      <c r="AE58" s="4"/>
    </row>
    <row r="59" spans="28:31" x14ac:dyDescent="0.25">
      <c r="AB59" s="4"/>
      <c r="AC59" s="4"/>
      <c r="AD59" s="6"/>
      <c r="AE59" s="4"/>
    </row>
    <row r="60" spans="28:31" x14ac:dyDescent="0.25">
      <c r="AB60" s="4"/>
      <c r="AC60" s="4"/>
      <c r="AD60" s="6"/>
      <c r="AE60" s="4"/>
    </row>
    <row r="61" spans="28:31" x14ac:dyDescent="0.25">
      <c r="AB61" s="4"/>
      <c r="AC61" s="4"/>
      <c r="AD61" s="6"/>
      <c r="AE61" s="4"/>
    </row>
    <row r="62" spans="28:31" x14ac:dyDescent="0.25">
      <c r="AB62" s="4"/>
      <c r="AC62" s="4"/>
      <c r="AD62" s="6"/>
      <c r="AE62" s="4"/>
    </row>
    <row r="63" spans="28:31" x14ac:dyDescent="0.25">
      <c r="AB63" s="4"/>
      <c r="AC63" s="4"/>
      <c r="AD63" s="6"/>
      <c r="AE63" s="4"/>
    </row>
    <row r="64" spans="28:31" x14ac:dyDescent="0.25">
      <c r="AB64" s="4"/>
      <c r="AC64" s="4"/>
      <c r="AD64" s="6"/>
      <c r="AE64" s="4"/>
    </row>
    <row r="65" spans="28:31" x14ac:dyDescent="0.25">
      <c r="AB65" s="4"/>
      <c r="AC65" s="4"/>
      <c r="AD65" s="6"/>
      <c r="AE65" s="4"/>
    </row>
    <row r="66" spans="28:31" x14ac:dyDescent="0.25">
      <c r="AB66" s="4"/>
      <c r="AC66" s="4"/>
      <c r="AD66" s="6"/>
      <c r="AE66" s="4"/>
    </row>
    <row r="67" spans="28:31" x14ac:dyDescent="0.25">
      <c r="AB67" s="4"/>
      <c r="AC67" s="4"/>
      <c r="AD67" s="6"/>
      <c r="AE67" s="4"/>
    </row>
    <row r="68" spans="28:31" x14ac:dyDescent="0.25">
      <c r="AB68" s="4"/>
      <c r="AC68" s="4"/>
      <c r="AD68" s="6"/>
      <c r="AE68" s="4"/>
    </row>
    <row r="69" spans="28:31" x14ac:dyDescent="0.25">
      <c r="AB69" s="4"/>
      <c r="AC69" s="4"/>
      <c r="AD69" s="6"/>
      <c r="AE69" s="4"/>
    </row>
    <row r="70" spans="28:31" x14ac:dyDescent="0.25">
      <c r="AB70" s="4"/>
      <c r="AC70" s="4"/>
      <c r="AD70" s="6"/>
      <c r="AE70" s="4"/>
    </row>
    <row r="71" spans="28:31" x14ac:dyDescent="0.25">
      <c r="AB71" s="4"/>
      <c r="AC71" s="4"/>
      <c r="AD71" s="6"/>
      <c r="AE71" s="4"/>
    </row>
    <row r="72" spans="28:31" x14ac:dyDescent="0.25">
      <c r="AB72" s="4"/>
      <c r="AC72" s="4"/>
      <c r="AD72" s="6"/>
      <c r="AE72" s="4"/>
    </row>
    <row r="73" spans="28:31" x14ac:dyDescent="0.25">
      <c r="AB73" s="4"/>
      <c r="AC73" s="4"/>
      <c r="AD73" s="6"/>
      <c r="AE73" s="4"/>
    </row>
    <row r="74" spans="28:31" x14ac:dyDescent="0.25">
      <c r="AB74" s="4"/>
      <c r="AC74" s="4"/>
      <c r="AD74" s="6"/>
      <c r="AE74" s="4"/>
    </row>
    <row r="75" spans="28:31" x14ac:dyDescent="0.25">
      <c r="AB75" s="4"/>
      <c r="AC75" s="4"/>
      <c r="AD75" s="6"/>
      <c r="AE75" s="4"/>
    </row>
    <row r="76" spans="28:31" x14ac:dyDescent="0.25">
      <c r="AB76" s="4"/>
      <c r="AC76" s="4"/>
      <c r="AD76" s="6"/>
      <c r="AE76" s="4"/>
    </row>
    <row r="77" spans="28:31" x14ac:dyDescent="0.25">
      <c r="AB77" s="4"/>
      <c r="AC77" s="4"/>
      <c r="AD77" s="6"/>
      <c r="AE77" s="4"/>
    </row>
    <row r="78" spans="28:31" x14ac:dyDescent="0.25">
      <c r="AB78" s="4"/>
      <c r="AC78" s="4"/>
      <c r="AD78" s="6"/>
      <c r="AE78" s="4"/>
    </row>
    <row r="79" spans="28:31" x14ac:dyDescent="0.25">
      <c r="AB79" s="4"/>
      <c r="AC79" s="4"/>
      <c r="AD79" s="6"/>
      <c r="AE79" s="4"/>
    </row>
    <row r="80" spans="28:31" x14ac:dyDescent="0.25">
      <c r="AB80" s="4"/>
      <c r="AC80" s="4"/>
      <c r="AD80" s="6"/>
      <c r="AE80" s="4"/>
    </row>
    <row r="81" spans="28:31" x14ac:dyDescent="0.25">
      <c r="AB81" s="4"/>
      <c r="AC81" s="4"/>
      <c r="AD81" s="6"/>
      <c r="AE81" s="4"/>
    </row>
    <row r="82" spans="28:31" x14ac:dyDescent="0.25">
      <c r="AB82" s="4"/>
      <c r="AC82" s="4"/>
      <c r="AD82" s="6"/>
      <c r="AE82" s="4"/>
    </row>
    <row r="83" spans="28:31" x14ac:dyDescent="0.25">
      <c r="AB83" s="4"/>
      <c r="AC83" s="4"/>
      <c r="AD83" s="6"/>
      <c r="AE83" s="4"/>
    </row>
    <row r="84" spans="28:31" x14ac:dyDescent="0.25">
      <c r="AB84" s="4"/>
      <c r="AC84" s="4"/>
      <c r="AD84" s="6"/>
      <c r="AE84" s="4"/>
    </row>
    <row r="85" spans="28:31" x14ac:dyDescent="0.25">
      <c r="AB85" s="4"/>
      <c r="AC85" s="4"/>
      <c r="AD85" s="6"/>
      <c r="AE85" s="4"/>
    </row>
    <row r="86" spans="28:31" x14ac:dyDescent="0.25">
      <c r="AB86" s="4"/>
      <c r="AC86" s="4"/>
      <c r="AD86" s="6"/>
      <c r="AE86" s="4"/>
    </row>
    <row r="87" spans="28:31" x14ac:dyDescent="0.25">
      <c r="AB87" s="4"/>
      <c r="AC87" s="4"/>
      <c r="AD87" s="6"/>
      <c r="AE87" s="4"/>
    </row>
    <row r="88" spans="28:31" x14ac:dyDescent="0.25">
      <c r="AB88" s="4"/>
      <c r="AC88" s="4"/>
      <c r="AD88" s="6"/>
      <c r="AE88" s="4"/>
    </row>
    <row r="89" spans="28:31" x14ac:dyDescent="0.25">
      <c r="AB89" s="4"/>
      <c r="AC89" s="4"/>
      <c r="AD89" s="6"/>
      <c r="AE89" s="4"/>
    </row>
    <row r="90" spans="28:31" x14ac:dyDescent="0.25">
      <c r="AB90" s="4"/>
      <c r="AC90" s="4"/>
      <c r="AD90" s="6"/>
      <c r="AE90" s="4"/>
    </row>
    <row r="91" spans="28:31" x14ac:dyDescent="0.25">
      <c r="AB91" s="4"/>
      <c r="AC91" s="4"/>
      <c r="AD91" s="6"/>
      <c r="AE91" s="4"/>
    </row>
    <row r="92" spans="28:31" x14ac:dyDescent="0.25">
      <c r="AB92" s="4"/>
      <c r="AC92" s="4"/>
      <c r="AD92" s="6"/>
      <c r="AE92" s="4"/>
    </row>
    <row r="93" spans="28:31" x14ac:dyDescent="0.25">
      <c r="AB93" s="4"/>
      <c r="AC93" s="4"/>
      <c r="AD93" s="6"/>
      <c r="AE93" s="4"/>
    </row>
    <row r="94" spans="28:31" x14ac:dyDescent="0.25">
      <c r="AB94" s="4"/>
      <c r="AC94" s="4"/>
      <c r="AD94" s="6"/>
      <c r="AE94" s="4"/>
    </row>
    <row r="95" spans="28:31" x14ac:dyDescent="0.25">
      <c r="AB95" s="4"/>
      <c r="AC95" s="4"/>
      <c r="AD95" s="6"/>
      <c r="AE95" s="4"/>
    </row>
    <row r="96" spans="28:31" x14ac:dyDescent="0.25">
      <c r="AB96" s="4"/>
      <c r="AC96" s="4"/>
      <c r="AD96" s="6"/>
      <c r="AE96" s="4"/>
    </row>
    <row r="97" spans="28:31" x14ac:dyDescent="0.25">
      <c r="AB97" s="4"/>
      <c r="AC97" s="4"/>
      <c r="AD97" s="6"/>
      <c r="AE97" s="4"/>
    </row>
    <row r="98" spans="28:31" x14ac:dyDescent="0.25">
      <c r="AB98" s="4"/>
      <c r="AC98" s="4"/>
      <c r="AD98" s="6"/>
      <c r="AE98" s="4"/>
    </row>
    <row r="99" spans="28:31" x14ac:dyDescent="0.25">
      <c r="AB99" s="4"/>
      <c r="AC99" s="4"/>
      <c r="AD99" s="6"/>
      <c r="AE99" s="4"/>
    </row>
    <row r="100" spans="28:31" x14ac:dyDescent="0.25">
      <c r="AB100" s="4"/>
      <c r="AC100" s="4"/>
      <c r="AD100" s="6"/>
      <c r="AE100" s="4"/>
    </row>
  </sheetData>
  <mergeCells count="8">
    <mergeCell ref="B1:Z1"/>
    <mergeCell ref="B2:Z2"/>
    <mergeCell ref="B5:D5"/>
    <mergeCell ref="F5:J5"/>
    <mergeCell ref="L5:R5"/>
    <mergeCell ref="T5:Z5"/>
    <mergeCell ref="AB5:AE5"/>
    <mergeCell ref="AB7:AE7"/>
  </mergeCells>
  <conditionalFormatting sqref="D7:D14">
    <cfRule type="cellIs" dxfId="0" priority="1" operator="equal">
      <formula>"Yes"</formula>
    </cfRule>
    <cfRule type="cellIs" dxfId="1" priority="2" operator="equal">
      <formula>"Hold"</formula>
    </cfRule>
    <cfRule type="cellIs" dxfId="2" priority="3" operator="equal">
      <formula>"No"</formula>
    </cfRule>
  </conditionalFormatting>
  <conditionalFormatting sqref="I7:J40">
    <cfRule type="cellIs" dxfId="3" priority="4" operator="equal">
      <formula>"OPEN"</formula>
    </cfRule>
  </conditionalFormatting>
  <conditionalFormatting sqref="L7:R40">
    <cfRule type="expression" dxfId="4" priority="5">
      <formula>$R7="Yes"</formula>
    </cfRule>
    <cfRule type="expression" dxfId="5" priority="6">
      <formula>$R7="No"</formula>
    </cfRule>
  </conditionalFormatting>
  <conditionalFormatting sqref="T7:Z40">
    <cfRule type="expression" dxfId="6" priority="7">
      <formula>$Z7="Yes"</formula>
    </cfRule>
    <cfRule type="expression" dxfId="7" priority="8">
      <formula>$Z7="No"</formula>
    </cfRule>
  </conditionalFormatting>
  <dataValidations count="18">
    <dataValidation type="list" allowBlank="1" sqref="AE100">
      <formula1>"1st,2nd"</formula1>
    </dataValidation>
    <dataValidation type="list" allowBlank="1" sqref="AE21:AE100">
      <formula1>"1st,2nd"</formula1>
    </dataValidation>
    <dataValidation type="list" allowBlank="1" showErrorMessage="1" sqref="B10:B14">
      <formula1>=$AB$8:$AB$100</formula1>
    </dataValidation>
    <dataValidation type="list" allowBlank="1" showErrorMessage="1" sqref="B7:B14">
      <formula1>=$AB$8:$AB$100</formula1>
    </dataValidation>
    <dataValidation type="list" allowBlank="1" showErrorMessage="1" sqref="C10:C14">
      <formula1>"Yes,No"</formula1>
    </dataValidation>
    <dataValidation type="list" allowBlank="1" showErrorMessage="1" sqref="C7:C14">
      <formula1>"Yes,No"</formula1>
    </dataValidation>
    <dataValidation type="list" allowBlank="1" showErrorMessage="1" sqref="D10:D14">
      <formula1>"Yes,Hold,No"</formula1>
    </dataValidation>
    <dataValidation type="list" allowBlank="1" showErrorMessage="1" sqref="D7:D14">
      <formula1>"Yes,Hold,No"</formula1>
    </dataValidation>
    <dataValidation type="list" allowBlank="1" sqref="I10:J19">
      <formula1>=$AB$8:$AB$100</formula1>
    </dataValidation>
    <dataValidation type="list" allowBlank="1" sqref="I7:J19">
      <formula1>=$AB$8:$AB$100</formula1>
    </dataValidation>
    <dataValidation type="list" allowBlank="1" sqref="M10:M40">
      <formula1>=$AB$8:$AB$100</formula1>
    </dataValidation>
    <dataValidation type="list" allowBlank="1" sqref="M7:M40">
      <formula1>=$AB$8:$AB$100</formula1>
    </dataValidation>
    <dataValidation type="list" allowBlank="1" sqref="P10:R40">
      <formula1>"Yes,No"</formula1>
    </dataValidation>
    <dataValidation type="list" allowBlank="1" sqref="P7:R40">
      <formula1>"Yes,No"</formula1>
    </dataValidation>
    <dataValidation type="list" allowBlank="1" sqref="U10:U40">
      <formula1>=$AB$8:$AB$100</formula1>
    </dataValidation>
    <dataValidation type="list" allowBlank="1" sqref="U7:U40">
      <formula1>=$AB$8:$AB$100</formula1>
    </dataValidation>
    <dataValidation type="list" allowBlank="1" sqref="X10:Z40">
      <formula1>"Yes,No"</formula1>
    </dataValidation>
    <dataValidation type="list" allowBlank="1" sqref="X7:Z4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cols>
    <col min="1" max="1" width="100" customWidth="1"/>
  </cols>
  <sheetData>
    <row r="1" spans="1:1" x14ac:dyDescent="0.25">
      <c r="A1" s="8" t="s">
        <v>64</v>
      </c>
    </row>
    <row r="2" spans="1:1" x14ac:dyDescent="0.25">
      <c r="A2" t="s">
        <v>37</v>
      </c>
    </row>
    <row r="3" spans="1:1" x14ac:dyDescent="0.25">
      <c r="A3" t="s">
        <v>65</v>
      </c>
    </row>
    <row r="4" spans="1:1" x14ac:dyDescent="0.25">
      <c r="A4" t="s">
        <v>66</v>
      </c>
    </row>
    <row r="5" spans="1:1" x14ac:dyDescent="0.25">
      <c r="A5" t="s">
        <v>67</v>
      </c>
    </row>
    <row r="6" spans="1:1" x14ac:dyDescent="0.25">
      <c r="A6" t="s">
        <v>37</v>
      </c>
    </row>
    <row r="7" spans="1:1" x14ac:dyDescent="0.25">
      <c r="A7" t="s">
        <v>68</v>
      </c>
    </row>
    <row r="8" spans="1:1" x14ac:dyDescent="0.25">
      <c r="A8" t="s">
        <v>69</v>
      </c>
    </row>
    <row r="9" spans="1:1" x14ac:dyDescent="0.25">
      <c r="A9" t="s">
        <v>70</v>
      </c>
    </row>
    <row r="10" spans="1:1" x14ac:dyDescent="0.25">
      <c r="A10" t="s">
        <v>71</v>
      </c>
    </row>
    <row r="11" spans="1:1" x14ac:dyDescent="0.25">
      <c r="A11" t="s">
        <v>72</v>
      </c>
    </row>
    <row r="12" spans="1:1" x14ac:dyDescent="0.25">
      <c r="A12" t="s">
        <v>37</v>
      </c>
    </row>
    <row r="13" spans="1:1" x14ac:dyDescent="0.25">
      <c r="A13" t="s">
        <v>73</v>
      </c>
    </row>
    <row r="14" spans="1:1" x14ac:dyDescent="0.25">
      <c r="A14" t="s">
        <v>74</v>
      </c>
    </row>
    <row r="15" spans="1:1" x14ac:dyDescent="0.25">
      <c r="A15" t="s">
        <v>75</v>
      </c>
    </row>
    <row r="16" spans="1:1" x14ac:dyDescent="0.25">
      <c r="A16" t="s">
        <v>76</v>
      </c>
    </row>
    <row r="17" spans="1:1" x14ac:dyDescent="0.25">
      <c r="A17" t="s">
        <v>37</v>
      </c>
    </row>
    <row r="18" spans="1:1" x14ac:dyDescent="0.25">
      <c r="A18" t="s">
        <v>77</v>
      </c>
    </row>
    <row r="19" spans="1:1" x14ac:dyDescent="0.25">
      <c r="A19" t="s">
        <v>78</v>
      </c>
    </row>
    <row r="20" spans="1:1" x14ac:dyDescent="0.25">
      <c r="A20" t="s">
        <v>79</v>
      </c>
    </row>
    <row r="21" spans="1:1" x14ac:dyDescent="0.25">
      <c r="A21" t="s">
        <v>37</v>
      </c>
    </row>
    <row r="22" spans="1:1" x14ac:dyDescent="0.25">
      <c r="A22" t="s">
        <v>80</v>
      </c>
    </row>
    <row r="23" spans="1:1" x14ac:dyDescent="0.25">
      <c r="A23" t="s">
        <v>81</v>
      </c>
    </row>
    <row r="24" spans="1:1" x14ac:dyDescent="0.25">
      <c r="A24" t="s">
        <v>82</v>
      </c>
    </row>
    <row r="25" spans="1:1" x14ac:dyDescent="0.25">
      <c r="A25" t="s">
        <v>37</v>
      </c>
    </row>
    <row r="26" spans="1:1" x14ac:dyDescent="0.25">
      <c r="A26" t="s">
        <v>83</v>
      </c>
    </row>
    <row r="27" spans="1:1" x14ac:dyDescent="0.25">
      <c r="A27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Shutdown Plan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Hub / Shutdown Planner</dc:creator>
  <dc:title/>
  <dc:subject/>
  <dc:description/>
  <cp:keywords/>
  <cp:category/>
  <cp:lastModifiedBy>Unknown</cp:lastModifiedBy>
  <dcterms:created xsi:type="dcterms:W3CDTF">2026-09-30T19:19:27Z</dcterms:created>
  <dcterms:modified xsi:type="dcterms:W3CDTF">2026-09-30T19:19:27Z</dcterms:modified>
</cp:coreProperties>
</file>